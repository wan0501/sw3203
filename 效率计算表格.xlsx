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6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<sst xmlns="http://schemas.openxmlformats.org/spreadsheetml/2006/main" count="15" uniqueCount="15">
  <si>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输入电压(V)</t>
  </si>
  <si>
    <t>输入电流(A)</t>
  </si>
  <si>
    <t>静态电流(A)</t>
  </si>
  <si>
    <t>输出电压(V)</t>
  </si>
  <si>
    <t>负载电阻(R)</t>
  </si>
  <si>
    <t>效率(%)</t>
  </si>
  <si>
    <t>纹波(mV)</t>
  </si>
  <si>
    <t>纹波率(%)</t>
  </si>
  <si>
    <t>测试1</t>
  </si>
  <si>
    <t>测试2</t>
  </si>
  <si>
    <t>测试3</t>
  </si>
  <si>
    <t>测试4</t>
  </si>
  <si>
    <t>测试5</t>
  </si>
  <si>
    <t>测试6</t>
  </si>
  <si>
    <t>测试7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</si>
</sst>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zoomScale="265" zoomScaleNormal="265" workbookViewId="0">
      <selection activeCell="F15" sqref="F15"/>
    </sheetView>
  </sheetViews>
  <sheetFormatPr defaultColWidth="8.99082568807339" defaultRowHeight="12.9" outlineLevelRow="7"/>
  <cols>
    <col min="1" max="1" width="8.99082568807339" style="1"/>
    <col min="2" max="6" width="12.7064220183486" style="1" customWidth="1"/>
    <col min="7" max="7" width="12.743119266055" style="1"/>
    <col min="8" max="8" width="8.99082568807339" style="1"/>
    <col min="9" max="9" width="12.743119266055" style="1"/>
    <col min="10" max="16384" width="8.99082568807339" style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s="1">
        <v>20</v>
      </c>
      <c r="C2" s="1">
        <v>0.932</v>
      </c>
      <c r="D2" s="1">
        <v>0.001</v>
      </c>
      <c r="E2" s="1">
        <v>16</v>
      </c>
      <c r="F2" s="1">
        <v>15</v>
      </c>
      <c r="G2" s="2">
        <f>((E2*E2/F2)/(B2*(C2-D2)))*100</f>
        <v>91.6577157178661</v>
      </c>
      <c r="H2" s="1">
        <v>70</v>
      </c>
      <c r="I2" s="1">
        <f>(H2*0.001)/(E2/F2)</f>
        <v>0.065625</v>
      </c>
    </row>
    <row r="3" spans="1:9">
      <c r="A3" s="1" t="s">
        <v>9</v>
      </c>
      <c r="B3" s="1">
        <v>20</v>
      </c>
      <c r="C3" s="1">
        <v>0.322</v>
      </c>
      <c r="D3" s="1">
        <v>0.001</v>
      </c>
      <c r="E3" s="1">
        <v>16</v>
      </c>
      <c r="F3" s="1">
        <v>50</v>
      </c>
      <c r="G3" s="2">
        <f>((E3*E3/F3)/(B3*(C3-D3)))*100</f>
        <v>79.7507788161994</v>
      </c>
      <c r="H3" s="1">
        <v>100</v>
      </c>
      <c r="I3" s="1">
        <f>(H3*0.001)/(E3/F3)</f>
        <v>0.3125</v>
      </c>
    </row>
    <row r="4" spans="1:9">
      <c r="A4" s="1" t="s">
        <v>10</v>
      </c>
      <c r="B4" s="1">
        <v>20</v>
      </c>
      <c r="C4" s="1">
        <v>0.404</v>
      </c>
      <c r="D4" s="1">
        <v>0.001</v>
      </c>
      <c r="E4" s="1">
        <v>16</v>
      </c>
      <c r="F4" s="1">
        <v>40</v>
      </c>
      <c r="G4" s="2">
        <f>((E4*E4/F4)/(B4*(C4-D4)))*100</f>
        <v>79.4044665012407</v>
      </c>
      <c r="H4" s="1">
        <v>80</v>
      </c>
      <c r="I4" s="1">
        <f>(H4*0.001)/(E4/F4)</f>
        <v>0.2</v>
      </c>
    </row>
    <row r="5" spans="1:9">
      <c r="A5" s="1" t="s">
        <v>11</v>
      </c>
      <c r="B5" s="1">
        <v>20</v>
      </c>
      <c r="C5" s="1">
        <v>0.518</v>
      </c>
      <c r="D5" s="1">
        <v>0.001</v>
      </c>
      <c r="E5" s="1">
        <v>16</v>
      </c>
      <c r="F5" s="1">
        <v>30</v>
      </c>
      <c r="G5" s="2">
        <f>((E5*E5/F5)/(B5*(C5-D5)))*100</f>
        <v>82.5274016763378</v>
      </c>
      <c r="H5" s="1">
        <v>100</v>
      </c>
      <c r="I5" s="1">
        <f>(H5*0.001)/(E5/F5)</f>
        <v>0.1875</v>
      </c>
    </row>
    <row r="6" spans="1:9">
      <c r="A6" s="1" t="s">
        <v>12</v>
      </c>
      <c r="B6" s="1">
        <v>20</v>
      </c>
      <c r="C6" s="1">
        <v>0.745</v>
      </c>
      <c r="D6" s="1">
        <v>0.001</v>
      </c>
      <c r="E6" s="1">
        <v>16</v>
      </c>
      <c r="F6" s="1">
        <v>20</v>
      </c>
      <c r="G6" s="2">
        <f>((E6*E6/F6)/(B6*(C6-D6)))*100</f>
        <v>86.0215053763441</v>
      </c>
      <c r="H6" s="1">
        <v>80</v>
      </c>
      <c r="I6" s="1">
        <f>(H6*0.001)/(E6/F6)</f>
        <v>0.1</v>
      </c>
    </row>
    <row r="7" spans="1:9">
      <c r="A7" s="1" t="s">
        <v>13</v>
      </c>
      <c r="B7" s="1">
        <v>20</v>
      </c>
      <c r="C7" s="3">
        <v>1.34</v>
      </c>
      <c r="D7" s="1">
        <v>0.001</v>
      </c>
      <c r="E7" s="1">
        <v>16</v>
      </c>
      <c r="F7" s="1">
        <v>10</v>
      </c>
      <c r="G7" s="2">
        <f>((E7*E7/F7)/(B7*(C7-D7)))*100</f>
        <v>95.5937266616878</v>
      </c>
      <c r="H7" s="1">
        <v>65</v>
      </c>
      <c r="I7" s="1">
        <f>(H7*0.001)/(E7/F7)</f>
        <v>0.040625</v>
      </c>
    </row>
    <row r="8" spans="1:9">
      <c r="A8" s="1" t="s">
        <v>14</v>
      </c>
      <c r="B8" s="1">
        <v>20</v>
      </c>
      <c r="C8" s="1">
        <v>0.284</v>
      </c>
      <c r="D8" s="1">
        <v>0.001</v>
      </c>
      <c r="E8" s="1">
        <v>16</v>
      </c>
      <c r="F8" s="1">
        <v>60</v>
      </c>
      <c r="G8" s="2">
        <f>((E8*E8/F8)/(B8*(C8-D8)))*100</f>
        <v>75.3828032979977</v>
      </c>
      <c r="H8" s="1">
        <v>90</v>
      </c>
      <c r="I8" s="1">
        <f>(H8*0.001)/(E8/F8)</f>
        <v>0.3375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wan20</dc:creator>
  <cp:lastModifiedBy>无言尽语</cp:lastModifiedBy>
  <dcterms:created xsi:type="dcterms:W3CDTF">2026-05-02T12:00:17Z</dcterms:created>
  <dcterms:modified xsi:type="dcterms:W3CDTF">2026-05-02T13:06:55Z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0D3959AC07424B5896B580B57BD5ACE4_11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